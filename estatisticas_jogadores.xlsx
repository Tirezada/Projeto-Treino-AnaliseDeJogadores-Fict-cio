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gadores" sheetId="1" state="visible" r:id="rId3"/>
    <sheet name="Resumo por Posição" sheetId="2" state="visible" r:id="rId4"/>
    <sheet name="Top 10 Artilheir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<sst xmlns="http://schemas.openxmlformats.org/spreadsheetml/2006/main" count="158" uniqueCount="92">
  <si>
    <t xml:space="preserve">⚽  ESTATÍSTICAS DE JOGADORES — LIGA FICTÍCIA 2024/25</t>
  </si>
  <si>
    <t xml:space="preserve">ID</t>
  </si>
  <si>
    <t xml:space="preserve">Jogador</t>
  </si>
  <si>
    <t xml:space="preserve">Nacionalidade</t>
  </si>
  <si>
    <t xml:space="preserve">Clube</t>
  </si>
  <si>
    <t xml:space="preserve">Posição</t>
  </si>
  <si>
    <t xml:space="preserve">Idade</t>
  </si>
  <si>
    <t xml:space="preserve">Altura (cm)</t>
  </si>
  <si>
    <t xml:space="preserve">Peso (kg)</t>
  </si>
  <si>
    <t xml:space="preserve">Jogos</t>
  </si>
  <si>
    <t xml:space="preserve">Titulares</t>
  </si>
  <si>
    <t xml:space="preserve">Min. Jogados</t>
  </si>
  <si>
    <t xml:space="preserve">Gols</t>
  </si>
  <si>
    <t xml:space="preserve">Assistências</t>
  </si>
  <si>
    <t xml:space="preserve">Chutes</t>
  </si>
  <si>
    <t xml:space="preserve">Chutes no Gol</t>
  </si>
  <si>
    <t xml:space="preserve">Passes Certos (%)</t>
  </si>
  <si>
    <t xml:space="preserve">Dribles Certos</t>
  </si>
  <si>
    <t xml:space="preserve">Cartões Amarelos</t>
  </si>
  <si>
    <t xml:space="preserve">Carlos Almeida</t>
  </si>
  <si>
    <t xml:space="preserve">Brasil</t>
  </si>
  <si>
    <t xml:space="preserve">Fluminense FC</t>
  </si>
  <si>
    <t xml:space="preserve">Atacante</t>
  </si>
  <si>
    <t xml:space="preserve">Rodrigo Ferreira</t>
  </si>
  <si>
    <t xml:space="preserve">Santos FC</t>
  </si>
  <si>
    <t xml:space="preserve">Meia</t>
  </si>
  <si>
    <t xml:space="preserve">Lucas Mendes</t>
  </si>
  <si>
    <t xml:space="preserve">Atlético Mineiro</t>
  </si>
  <si>
    <t xml:space="preserve">Defensor</t>
  </si>
  <si>
    <t xml:space="preserve">Pedro Souza</t>
  </si>
  <si>
    <t xml:space="preserve">Sport Club Recife</t>
  </si>
  <si>
    <t xml:space="preserve">Goleiro</t>
  </si>
  <si>
    <t xml:space="preserve">Thiago Costa</t>
  </si>
  <si>
    <t xml:space="preserve">Grêmio</t>
  </si>
  <si>
    <t xml:space="preserve">Diego Rojas</t>
  </si>
  <si>
    <t xml:space="preserve">Argentina</t>
  </si>
  <si>
    <t xml:space="preserve">Boca Juniors</t>
  </si>
  <si>
    <t xml:space="preserve">Mateus Gomes</t>
  </si>
  <si>
    <t xml:space="preserve">Palmeiras</t>
  </si>
  <si>
    <t xml:space="preserve">Felipe Torres</t>
  </si>
  <si>
    <t xml:space="preserve">Colômbia</t>
  </si>
  <si>
    <t xml:space="preserve">Millonarios</t>
  </si>
  <si>
    <t xml:space="preserve">André Lima</t>
  </si>
  <si>
    <t xml:space="preserve">Flamengo</t>
  </si>
  <si>
    <t xml:space="preserve">Bruno Carvalho</t>
  </si>
  <si>
    <t xml:space="preserve">Portugal</t>
  </si>
  <si>
    <t xml:space="preserve">Sporting CP</t>
  </si>
  <si>
    <t xml:space="preserve">Santiago Herrera</t>
  </si>
  <si>
    <t xml:space="preserve">Uruguai</t>
  </si>
  <si>
    <t xml:space="preserve">Nacional</t>
  </si>
  <si>
    <t xml:space="preserve">Rafael Nunes</t>
  </si>
  <si>
    <t xml:space="preserve">Vasco da Gama</t>
  </si>
  <si>
    <t xml:space="preserve">Eduardo Dias</t>
  </si>
  <si>
    <t xml:space="preserve">Corinthians</t>
  </si>
  <si>
    <t xml:space="preserve">Marcos Vieira</t>
  </si>
  <si>
    <t xml:space="preserve">Botafogo</t>
  </si>
  <si>
    <t xml:space="preserve">Juan Perez</t>
  </si>
  <si>
    <t xml:space="preserve">Paraguai</t>
  </si>
  <si>
    <t xml:space="preserve">Olimpia</t>
  </si>
  <si>
    <t xml:space="preserve">Leandro Silva</t>
  </si>
  <si>
    <t xml:space="preserve">Internacional</t>
  </si>
  <si>
    <t xml:space="preserve">Caio Ribeiro</t>
  </si>
  <si>
    <t xml:space="preserve">Fortaleza</t>
  </si>
  <si>
    <t xml:space="preserve">Victor Faria</t>
  </si>
  <si>
    <t xml:space="preserve">Ceará</t>
  </si>
  <si>
    <t xml:space="preserve">Gustavo Moura</t>
  </si>
  <si>
    <t xml:space="preserve">Athletico PR</t>
  </si>
  <si>
    <t xml:space="preserve">Henrique Lima</t>
  </si>
  <si>
    <t xml:space="preserve">Cruzeiro</t>
  </si>
  <si>
    <t xml:space="preserve">Alessandro Greco</t>
  </si>
  <si>
    <t xml:space="preserve">Itália</t>
  </si>
  <si>
    <t xml:space="preserve">AC Fiorentina</t>
  </si>
  <si>
    <t xml:space="preserve">Nando Paixão</t>
  </si>
  <si>
    <t xml:space="preserve">Kelvin Souza</t>
  </si>
  <si>
    <t xml:space="preserve">Danilo Rezende</t>
  </si>
  <si>
    <t xml:space="preserve">Fábio Mota</t>
  </si>
  <si>
    <t xml:space="preserve">Igor Cunha</t>
  </si>
  <si>
    <t xml:space="preserve">Willian Barros</t>
  </si>
  <si>
    <t xml:space="preserve">Emerson Cruz</t>
  </si>
  <si>
    <t xml:space="preserve">Renato Paiva</t>
  </si>
  <si>
    <t xml:space="preserve">Benfica</t>
  </si>
  <si>
    <t xml:space="preserve">Alan Teixeira</t>
  </si>
  <si>
    <t xml:space="preserve">MÉDIAS / TOTAIS</t>
  </si>
  <si>
    <t xml:space="preserve">📊  RESUMO ESTATÍSTICO POR POSIÇÃO</t>
  </si>
  <si>
    <t xml:space="preserve">Qtd. Jogadores</t>
  </si>
  <si>
    <t xml:space="preserve">Média Gols</t>
  </si>
  <si>
    <t xml:space="preserve">Média Assistências</t>
  </si>
  <si>
    <t xml:space="preserve">Média Min. Jogados</t>
  </si>
  <si>
    <t xml:space="preserve">Média Passes (%)</t>
  </si>
  <si>
    <t xml:space="preserve">Média Cartões Amarelos</t>
  </si>
  <si>
    <t xml:space="preserve">🏆  TOP 10 ARTILHEIROS</t>
  </si>
  <si>
    <t xml:space="preserve">#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</si>
</sst>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EAF2FB"/>
        <bgColor rgb="FFDDEBF7"/>
      </patternFill>
    </fill>
    <fill>
      <patternFill patternType="solid">
        <fgColor rgb="FFFFFFFF"/>
        <bgColor rgb="FFEAF2FB"/>
      </patternFill>
    </fill>
    <fill>
      <patternFill patternType="solid">
        <fgColor rgb="FFD5E8F5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5E8F5"/>
      </patternFill>
    </fill>
    <fill>
      <patternFill patternType="solid">
        <fgColor rgb="FFFCE4D6"/>
        <bgColor rgb="FFFFF2CC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AAAAAA"/>
      </patternFill>
    </fill>
    <fill>
      <patternFill patternType="solid">
        <fgColor rgb="FFCD7F32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2E6DA4"/>
      <rgbColor rgb="FFEAF2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5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D700"/>
      <rgbColor rgb="FFFF9900"/>
      <rgbColor rgb="FFCD7F32"/>
      <rgbColor rgb="FF666699"/>
      <rgbColor rgb="FFAAAAAA"/>
      <rgbColor rgb="FF1A3C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6"/>
    <col collapsed="false" customWidth="true" hidden="false" outlineLevel="0" max="13" min="13" style="0" width="13"/>
    <col collapsed="false" customWidth="true" hidden="false" outlineLevel="0" max="14" min="14" style="0" width="8"/>
    <col collapsed="false" customWidth="true" hidden="false" outlineLevel="0" max="15" min="15" style="0" width="15"/>
    <col collapsed="false" customWidth="true" hidden="false" outlineLevel="0" max="16" min="16" style="0" width="16"/>
    <col collapsed="false" customWidth="true" hidden="false" outlineLevel="0" max="17" min="17" style="0" width="15"/>
    <col collapsed="false" customWidth="true" hidden="false" outlineLevel="0" max="18" min="18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8" hidden="false" customHeight="true" outlineLevel="0" collapsed="false">
      <c r="A3" s="3" t="n">
        <v>1</v>
      </c>
      <c r="B3" s="4" t="s">
        <v>19</v>
      </c>
      <c r="C3" s="3" t="s">
        <v>20</v>
      </c>
      <c r="D3" s="3" t="s">
        <v>21</v>
      </c>
      <c r="E3" s="3" t="s">
        <v>22</v>
      </c>
      <c r="F3" s="3" t="n">
        <v>26</v>
      </c>
      <c r="G3" s="3" t="n">
        <v>190</v>
      </c>
      <c r="H3" s="3" t="n">
        <v>67.8</v>
      </c>
      <c r="I3" s="3" t="n">
        <v>17</v>
      </c>
      <c r="J3" s="3" t="n">
        <v>12</v>
      </c>
      <c r="K3" s="3" t="n">
        <v>848</v>
      </c>
      <c r="L3" s="3" t="n">
        <v>17</v>
      </c>
      <c r="M3" s="3" t="n">
        <v>1</v>
      </c>
      <c r="N3" s="3" t="n">
        <v>49</v>
      </c>
      <c r="O3" s="3" t="n">
        <v>13</v>
      </c>
      <c r="P3" s="3" t="n">
        <v>72.3</v>
      </c>
      <c r="Q3" s="3" t="n">
        <v>14</v>
      </c>
      <c r="R3" s="3" t="n">
        <v>8</v>
      </c>
    </row>
    <row r="4" customFormat="false" ht="18" hidden="false" customHeight="true" outlineLevel="0" collapsed="false">
      <c r="A4" s="5" t="n">
        <v>2</v>
      </c>
      <c r="B4" s="6" t="s">
        <v>23</v>
      </c>
      <c r="C4" s="5" t="s">
        <v>20</v>
      </c>
      <c r="D4" s="5" t="s">
        <v>24</v>
      </c>
      <c r="E4" s="5" t="s">
        <v>25</v>
      </c>
      <c r="F4" s="5" t="n">
        <v>24</v>
      </c>
      <c r="G4" s="5" t="n">
        <v>189</v>
      </c>
      <c r="H4" s="5" t="n">
        <v>65.7</v>
      </c>
      <c r="I4" s="5" t="n">
        <v>32</v>
      </c>
      <c r="J4" s="5" t="n">
        <v>32</v>
      </c>
      <c r="K4" s="5" t="n">
        <v>2336</v>
      </c>
      <c r="L4" s="5" t="n">
        <v>7</v>
      </c>
      <c r="M4" s="5" t="n">
        <v>9</v>
      </c>
      <c r="N4" s="5" t="n">
        <v>29</v>
      </c>
      <c r="O4" s="5" t="n">
        <v>14</v>
      </c>
      <c r="P4" s="5" t="n">
        <v>70.2</v>
      </c>
      <c r="Q4" s="5" t="n">
        <v>51</v>
      </c>
      <c r="R4" s="5" t="n">
        <v>2</v>
      </c>
    </row>
    <row r="5" customFormat="false" ht="18" hidden="false" customHeight="true" outlineLevel="0" collapsed="false">
      <c r="A5" s="3" t="n">
        <v>3</v>
      </c>
      <c r="B5" s="4" t="s">
        <v>26</v>
      </c>
      <c r="C5" s="3" t="s">
        <v>20</v>
      </c>
      <c r="D5" s="3" t="s">
        <v>27</v>
      </c>
      <c r="E5" s="3" t="s">
        <v>28</v>
      </c>
      <c r="F5" s="3" t="n">
        <v>22</v>
      </c>
      <c r="G5" s="3" t="n">
        <v>183</v>
      </c>
      <c r="H5" s="3" t="n">
        <v>73.5</v>
      </c>
      <c r="I5" s="3" t="n">
        <v>16</v>
      </c>
      <c r="J5" s="3" t="n">
        <v>13</v>
      </c>
      <c r="K5" s="3" t="n">
        <v>864</v>
      </c>
      <c r="L5" s="3" t="n">
        <v>3</v>
      </c>
      <c r="M5" s="3" t="n">
        <v>0</v>
      </c>
      <c r="N5" s="3" t="n">
        <v>30</v>
      </c>
      <c r="O5" s="3" t="n">
        <v>15</v>
      </c>
      <c r="P5" s="3" t="n">
        <v>85.1</v>
      </c>
      <c r="Q5" s="3" t="n">
        <v>51</v>
      </c>
      <c r="R5" s="3" t="n">
        <v>0</v>
      </c>
    </row>
    <row r="6" customFormat="false" ht="18" hidden="false" customHeight="true" outlineLevel="0" collapsed="false">
      <c r="A6" s="5" t="n">
        <v>4</v>
      </c>
      <c r="B6" s="6" t="s">
        <v>29</v>
      </c>
      <c r="C6" s="5" t="s">
        <v>20</v>
      </c>
      <c r="D6" s="5" t="s">
        <v>30</v>
      </c>
      <c r="E6" s="5" t="s">
        <v>31</v>
      </c>
      <c r="F6" s="5" t="n">
        <v>30</v>
      </c>
      <c r="G6" s="5" t="n">
        <v>184</v>
      </c>
      <c r="H6" s="5" t="n">
        <v>78.4</v>
      </c>
      <c r="I6" s="5" t="n">
        <v>12</v>
      </c>
      <c r="J6" s="5" t="n">
        <v>12</v>
      </c>
      <c r="K6" s="5" t="n">
        <v>828</v>
      </c>
      <c r="L6" s="5" t="n">
        <v>1</v>
      </c>
      <c r="M6" s="5" t="n">
        <v>5</v>
      </c>
      <c r="N6" s="5" t="n">
        <v>10</v>
      </c>
      <c r="O6" s="5" t="n">
        <v>3</v>
      </c>
      <c r="P6" s="5" t="n">
        <v>75.7</v>
      </c>
      <c r="Q6" s="5" t="n">
        <v>18</v>
      </c>
      <c r="R6" s="5" t="n">
        <v>1</v>
      </c>
    </row>
    <row r="7" customFormat="false" ht="18" hidden="false" customHeight="true" outlineLevel="0" collapsed="false">
      <c r="A7" s="3" t="n">
        <v>5</v>
      </c>
      <c r="B7" s="4" t="s">
        <v>32</v>
      </c>
      <c r="C7" s="3" t="s">
        <v>20</v>
      </c>
      <c r="D7" s="3" t="s">
        <v>33</v>
      </c>
      <c r="E7" s="3" t="s">
        <v>22</v>
      </c>
      <c r="F7" s="3" t="n">
        <v>30</v>
      </c>
      <c r="G7" s="3" t="n">
        <v>177</v>
      </c>
      <c r="H7" s="3" t="n">
        <v>86.7</v>
      </c>
      <c r="I7" s="3" t="n">
        <v>18</v>
      </c>
      <c r="J7" s="3" t="n">
        <v>17</v>
      </c>
      <c r="K7" s="3" t="n">
        <v>1393</v>
      </c>
      <c r="L7" s="3" t="n">
        <v>5</v>
      </c>
      <c r="M7" s="3" t="n">
        <v>5</v>
      </c>
      <c r="N7" s="3" t="n">
        <v>32</v>
      </c>
      <c r="O7" s="3" t="n">
        <v>10</v>
      </c>
      <c r="P7" s="3" t="n">
        <v>76.7</v>
      </c>
      <c r="Q7" s="3" t="n">
        <v>59</v>
      </c>
      <c r="R7" s="3" t="n">
        <v>10</v>
      </c>
    </row>
    <row r="8" customFormat="false" ht="18" hidden="false" customHeight="true" outlineLevel="0" collapsed="false">
      <c r="A8" s="5" t="n">
        <v>6</v>
      </c>
      <c r="B8" s="6" t="s">
        <v>34</v>
      </c>
      <c r="C8" s="5" t="s">
        <v>35</v>
      </c>
      <c r="D8" s="5" t="s">
        <v>36</v>
      </c>
      <c r="E8" s="5" t="s">
        <v>25</v>
      </c>
      <c r="F8" s="5" t="n">
        <v>23</v>
      </c>
      <c r="G8" s="5" t="n">
        <v>175</v>
      </c>
      <c r="H8" s="5" t="n">
        <v>80.2</v>
      </c>
      <c r="I8" s="5" t="n">
        <v>27</v>
      </c>
      <c r="J8" s="5" t="n">
        <v>22</v>
      </c>
      <c r="K8" s="5" t="n">
        <v>1625</v>
      </c>
      <c r="L8" s="5" t="n">
        <v>6</v>
      </c>
      <c r="M8" s="5" t="n">
        <v>4</v>
      </c>
      <c r="N8" s="5" t="n">
        <v>46</v>
      </c>
      <c r="O8" s="5" t="n">
        <v>15</v>
      </c>
      <c r="P8" s="5" t="n">
        <v>78.1</v>
      </c>
      <c r="Q8" s="5" t="n">
        <v>49</v>
      </c>
      <c r="R8" s="5" t="n">
        <v>0</v>
      </c>
    </row>
    <row r="9" customFormat="false" ht="18" hidden="false" customHeight="true" outlineLevel="0" collapsed="false">
      <c r="A9" s="3" t="n">
        <v>7</v>
      </c>
      <c r="B9" s="4" t="s">
        <v>37</v>
      </c>
      <c r="C9" s="3" t="s">
        <v>20</v>
      </c>
      <c r="D9" s="3" t="s">
        <v>38</v>
      </c>
      <c r="E9" s="3" t="s">
        <v>28</v>
      </c>
      <c r="F9" s="3" t="n">
        <v>28</v>
      </c>
      <c r="G9" s="3" t="n">
        <v>177</v>
      </c>
      <c r="H9" s="3" t="n">
        <v>85.5</v>
      </c>
      <c r="I9" s="3" t="n">
        <v>22</v>
      </c>
      <c r="J9" s="3" t="n">
        <v>18</v>
      </c>
      <c r="K9" s="3" t="n">
        <v>1208</v>
      </c>
      <c r="L9" s="3" t="n">
        <v>2</v>
      </c>
      <c r="M9" s="3" t="n">
        <v>1</v>
      </c>
      <c r="N9" s="3" t="n">
        <v>38</v>
      </c>
      <c r="O9" s="3" t="n">
        <v>14</v>
      </c>
      <c r="P9" s="3" t="n">
        <v>92.9</v>
      </c>
      <c r="Q9" s="3" t="n">
        <v>29</v>
      </c>
      <c r="R9" s="3" t="n">
        <v>2</v>
      </c>
    </row>
    <row r="10" customFormat="false" ht="18" hidden="false" customHeight="true" outlineLevel="0" collapsed="false">
      <c r="A10" s="5" t="n">
        <v>8</v>
      </c>
      <c r="B10" s="6" t="s">
        <v>39</v>
      </c>
      <c r="C10" s="5" t="s">
        <v>40</v>
      </c>
      <c r="D10" s="5" t="s">
        <v>41</v>
      </c>
      <c r="E10" s="5" t="s">
        <v>22</v>
      </c>
      <c r="F10" s="5" t="n">
        <v>35</v>
      </c>
      <c r="G10" s="5" t="n">
        <v>176</v>
      </c>
      <c r="H10" s="5" t="n">
        <v>68.5</v>
      </c>
      <c r="I10" s="5" t="n">
        <v>27</v>
      </c>
      <c r="J10" s="5" t="n">
        <v>23</v>
      </c>
      <c r="K10" s="5" t="n">
        <v>2057</v>
      </c>
      <c r="L10" s="5" t="n">
        <v>18</v>
      </c>
      <c r="M10" s="5" t="n">
        <v>6</v>
      </c>
      <c r="N10" s="5" t="n">
        <v>46</v>
      </c>
      <c r="O10" s="5" t="n">
        <v>15</v>
      </c>
      <c r="P10" s="5" t="n">
        <v>94.9</v>
      </c>
      <c r="Q10" s="5" t="n">
        <v>32</v>
      </c>
      <c r="R10" s="5" t="n">
        <v>7</v>
      </c>
    </row>
    <row r="11" customFormat="false" ht="18" hidden="false" customHeight="true" outlineLevel="0" collapsed="false">
      <c r="A11" s="3" t="n">
        <v>9</v>
      </c>
      <c r="B11" s="4" t="s">
        <v>42</v>
      </c>
      <c r="C11" s="3" t="s">
        <v>20</v>
      </c>
      <c r="D11" s="3" t="s">
        <v>43</v>
      </c>
      <c r="E11" s="3" t="s">
        <v>25</v>
      </c>
      <c r="F11" s="3" t="n">
        <v>21</v>
      </c>
      <c r="G11" s="3" t="n">
        <v>172</v>
      </c>
      <c r="H11" s="3" t="n">
        <v>83.9</v>
      </c>
      <c r="I11" s="3" t="n">
        <v>14</v>
      </c>
      <c r="J11" s="3" t="n">
        <v>8</v>
      </c>
      <c r="K11" s="3" t="n">
        <v>902</v>
      </c>
      <c r="L11" s="3" t="n">
        <v>1</v>
      </c>
      <c r="M11" s="3" t="n">
        <v>6</v>
      </c>
      <c r="N11" s="3" t="n">
        <v>30</v>
      </c>
      <c r="O11" s="3" t="n">
        <v>13</v>
      </c>
      <c r="P11" s="3" t="n">
        <v>81.7</v>
      </c>
      <c r="Q11" s="3" t="n">
        <v>16</v>
      </c>
      <c r="R11" s="3" t="n">
        <v>8</v>
      </c>
    </row>
    <row r="12" customFormat="false" ht="18" hidden="false" customHeight="true" outlineLevel="0" collapsed="false">
      <c r="A12" s="5" t="n">
        <v>10</v>
      </c>
      <c r="B12" s="6" t="s">
        <v>44</v>
      </c>
      <c r="C12" s="5" t="s">
        <v>45</v>
      </c>
      <c r="D12" s="5" t="s">
        <v>46</v>
      </c>
      <c r="E12" s="5" t="s">
        <v>28</v>
      </c>
      <c r="F12" s="5" t="n">
        <v>21</v>
      </c>
      <c r="G12" s="5" t="n">
        <v>174</v>
      </c>
      <c r="H12" s="5" t="n">
        <v>82</v>
      </c>
      <c r="I12" s="5" t="n">
        <v>31</v>
      </c>
      <c r="J12" s="5" t="n">
        <v>31</v>
      </c>
      <c r="K12" s="5" t="n">
        <v>2604</v>
      </c>
      <c r="L12" s="5" t="n">
        <v>2</v>
      </c>
      <c r="M12" s="5" t="n">
        <v>0</v>
      </c>
      <c r="N12" s="5" t="n">
        <v>25</v>
      </c>
      <c r="O12" s="5" t="n">
        <v>10</v>
      </c>
      <c r="P12" s="5" t="n">
        <v>81.3</v>
      </c>
      <c r="Q12" s="5" t="n">
        <v>46</v>
      </c>
      <c r="R12" s="5" t="n">
        <v>4</v>
      </c>
    </row>
    <row r="13" customFormat="false" ht="18" hidden="false" customHeight="true" outlineLevel="0" collapsed="false">
      <c r="A13" s="3" t="n">
        <v>11</v>
      </c>
      <c r="B13" s="4" t="s">
        <v>47</v>
      </c>
      <c r="C13" s="3" t="s">
        <v>48</v>
      </c>
      <c r="D13" s="3" t="s">
        <v>49</v>
      </c>
      <c r="E13" s="3" t="s">
        <v>22</v>
      </c>
      <c r="F13" s="3" t="n">
        <v>34</v>
      </c>
      <c r="G13" s="3" t="n">
        <v>188</v>
      </c>
      <c r="H13" s="3" t="n">
        <v>84</v>
      </c>
      <c r="I13" s="3" t="n">
        <v>13</v>
      </c>
      <c r="J13" s="3" t="n">
        <v>9</v>
      </c>
      <c r="K13" s="3" t="n">
        <v>942</v>
      </c>
      <c r="L13" s="3" t="n">
        <v>19</v>
      </c>
      <c r="M13" s="3" t="n">
        <v>3</v>
      </c>
      <c r="N13" s="3" t="n">
        <v>33</v>
      </c>
      <c r="O13" s="3" t="n">
        <v>12</v>
      </c>
      <c r="P13" s="3" t="n">
        <v>74</v>
      </c>
      <c r="Q13" s="3" t="n">
        <v>49</v>
      </c>
      <c r="R13" s="3" t="n">
        <v>8</v>
      </c>
    </row>
    <row r="14" customFormat="false" ht="18" hidden="false" customHeight="true" outlineLevel="0" collapsed="false">
      <c r="A14" s="5" t="n">
        <v>12</v>
      </c>
      <c r="B14" s="6" t="s">
        <v>50</v>
      </c>
      <c r="C14" s="5" t="s">
        <v>20</v>
      </c>
      <c r="D14" s="5" t="s">
        <v>51</v>
      </c>
      <c r="E14" s="5" t="s">
        <v>25</v>
      </c>
      <c r="F14" s="5" t="n">
        <v>33</v>
      </c>
      <c r="G14" s="5" t="n">
        <v>170</v>
      </c>
      <c r="H14" s="5" t="n">
        <v>80</v>
      </c>
      <c r="I14" s="5" t="n">
        <v>10</v>
      </c>
      <c r="J14" s="5" t="n">
        <v>3</v>
      </c>
      <c r="K14" s="5" t="n">
        <v>498</v>
      </c>
      <c r="L14" s="5" t="n">
        <v>4</v>
      </c>
      <c r="M14" s="5" t="n">
        <v>3</v>
      </c>
      <c r="N14" s="5" t="n">
        <v>12</v>
      </c>
      <c r="O14" s="5" t="n">
        <v>4</v>
      </c>
      <c r="P14" s="5" t="n">
        <v>84.2</v>
      </c>
      <c r="Q14" s="5" t="n">
        <v>5</v>
      </c>
      <c r="R14" s="5" t="n">
        <v>1</v>
      </c>
    </row>
    <row r="15" customFormat="false" ht="18" hidden="false" customHeight="true" outlineLevel="0" collapsed="false">
      <c r="A15" s="3" t="n">
        <v>13</v>
      </c>
      <c r="B15" s="4" t="s">
        <v>52</v>
      </c>
      <c r="C15" s="3" t="s">
        <v>20</v>
      </c>
      <c r="D15" s="3" t="s">
        <v>53</v>
      </c>
      <c r="E15" s="3" t="s">
        <v>28</v>
      </c>
      <c r="F15" s="3" t="n">
        <v>35</v>
      </c>
      <c r="G15" s="3" t="n">
        <v>185</v>
      </c>
      <c r="H15" s="3" t="n">
        <v>85.4</v>
      </c>
      <c r="I15" s="3" t="n">
        <v>34</v>
      </c>
      <c r="J15" s="3" t="n">
        <v>28</v>
      </c>
      <c r="K15" s="3" t="n">
        <v>2032</v>
      </c>
      <c r="L15" s="3" t="n">
        <v>1</v>
      </c>
      <c r="M15" s="3" t="n">
        <v>2</v>
      </c>
      <c r="N15" s="3" t="n">
        <v>39</v>
      </c>
      <c r="O15" s="3" t="n">
        <v>20</v>
      </c>
      <c r="P15" s="3" t="n">
        <v>80.6</v>
      </c>
      <c r="Q15" s="3" t="n">
        <v>13</v>
      </c>
      <c r="R15" s="3" t="n">
        <v>8</v>
      </c>
    </row>
    <row r="16" customFormat="false" ht="18" hidden="false" customHeight="true" outlineLevel="0" collapsed="false">
      <c r="A16" s="5" t="n">
        <v>14</v>
      </c>
      <c r="B16" s="6" t="s">
        <v>54</v>
      </c>
      <c r="C16" s="5" t="s">
        <v>20</v>
      </c>
      <c r="D16" s="5" t="s">
        <v>55</v>
      </c>
      <c r="E16" s="5" t="s">
        <v>31</v>
      </c>
      <c r="F16" s="5" t="n">
        <v>30</v>
      </c>
      <c r="G16" s="5" t="n">
        <v>176</v>
      </c>
      <c r="H16" s="5" t="n">
        <v>82.8</v>
      </c>
      <c r="I16" s="5" t="n">
        <v>31</v>
      </c>
      <c r="J16" s="5" t="n">
        <v>28</v>
      </c>
      <c r="K16" s="5" t="n">
        <v>2201</v>
      </c>
      <c r="L16" s="5" t="n">
        <v>3</v>
      </c>
      <c r="M16" s="5" t="n">
        <v>0</v>
      </c>
      <c r="N16" s="5" t="n">
        <v>23</v>
      </c>
      <c r="O16" s="5" t="n">
        <v>7</v>
      </c>
      <c r="P16" s="5" t="n">
        <v>78.5</v>
      </c>
      <c r="Q16" s="5" t="n">
        <v>37</v>
      </c>
      <c r="R16" s="5" t="n">
        <v>8</v>
      </c>
    </row>
    <row r="17" customFormat="false" ht="18" hidden="false" customHeight="true" outlineLevel="0" collapsed="false">
      <c r="A17" s="3" t="n">
        <v>15</v>
      </c>
      <c r="B17" s="4" t="s">
        <v>56</v>
      </c>
      <c r="C17" s="3" t="s">
        <v>57</v>
      </c>
      <c r="D17" s="3" t="s">
        <v>58</v>
      </c>
      <c r="E17" s="3" t="s">
        <v>22</v>
      </c>
      <c r="F17" s="3" t="n">
        <v>18</v>
      </c>
      <c r="G17" s="3" t="n">
        <v>176</v>
      </c>
      <c r="H17" s="3" t="n">
        <v>79.7</v>
      </c>
      <c r="I17" s="3" t="n">
        <v>12</v>
      </c>
      <c r="J17" s="3" t="n">
        <v>4</v>
      </c>
      <c r="K17" s="3" t="n">
        <v>380</v>
      </c>
      <c r="L17" s="3" t="n">
        <v>1</v>
      </c>
      <c r="M17" s="3" t="n">
        <v>5</v>
      </c>
      <c r="N17" s="3" t="n">
        <v>10</v>
      </c>
      <c r="O17" s="3" t="n">
        <v>4</v>
      </c>
      <c r="P17" s="3" t="n">
        <v>77</v>
      </c>
      <c r="Q17" s="3" t="n">
        <v>31</v>
      </c>
      <c r="R17" s="3" t="n">
        <v>3</v>
      </c>
    </row>
    <row r="18" customFormat="false" ht="18" hidden="false" customHeight="true" outlineLevel="0" collapsed="false">
      <c r="A18" s="5" t="n">
        <v>16</v>
      </c>
      <c r="B18" s="6" t="s">
        <v>59</v>
      </c>
      <c r="C18" s="5" t="s">
        <v>20</v>
      </c>
      <c r="D18" s="5" t="s">
        <v>60</v>
      </c>
      <c r="E18" s="5" t="s">
        <v>25</v>
      </c>
      <c r="F18" s="5" t="n">
        <v>36</v>
      </c>
      <c r="G18" s="5" t="n">
        <v>187</v>
      </c>
      <c r="H18" s="5" t="n">
        <v>68.3</v>
      </c>
      <c r="I18" s="5" t="n">
        <v>28</v>
      </c>
      <c r="J18" s="5" t="n">
        <v>27</v>
      </c>
      <c r="K18" s="5" t="n">
        <v>1849</v>
      </c>
      <c r="L18" s="5" t="n">
        <v>6</v>
      </c>
      <c r="M18" s="5" t="n">
        <v>3</v>
      </c>
      <c r="N18" s="5" t="n">
        <v>17</v>
      </c>
      <c r="O18" s="5" t="n">
        <v>5</v>
      </c>
      <c r="P18" s="5" t="n">
        <v>80.8</v>
      </c>
      <c r="Q18" s="5" t="n">
        <v>27</v>
      </c>
      <c r="R18" s="5" t="n">
        <v>6</v>
      </c>
    </row>
    <row r="19" customFormat="false" ht="18" hidden="false" customHeight="true" outlineLevel="0" collapsed="false">
      <c r="A19" s="3" t="n">
        <v>17</v>
      </c>
      <c r="B19" s="4" t="s">
        <v>61</v>
      </c>
      <c r="C19" s="3" t="s">
        <v>20</v>
      </c>
      <c r="D19" s="3" t="s">
        <v>62</v>
      </c>
      <c r="E19" s="3" t="s">
        <v>28</v>
      </c>
      <c r="F19" s="3" t="n">
        <v>19</v>
      </c>
      <c r="G19" s="3" t="n">
        <v>184</v>
      </c>
      <c r="H19" s="3" t="n">
        <v>86.6</v>
      </c>
      <c r="I19" s="3" t="n">
        <v>31</v>
      </c>
      <c r="J19" s="3" t="n">
        <v>24</v>
      </c>
      <c r="K19" s="3" t="n">
        <v>1709</v>
      </c>
      <c r="L19" s="3" t="n">
        <v>2</v>
      </c>
      <c r="M19" s="3" t="n">
        <v>0</v>
      </c>
      <c r="N19" s="3" t="n">
        <v>22</v>
      </c>
      <c r="O19" s="3" t="n">
        <v>7</v>
      </c>
      <c r="P19" s="3" t="n">
        <v>83.4</v>
      </c>
      <c r="Q19" s="3" t="n">
        <v>8</v>
      </c>
      <c r="R19" s="3" t="n">
        <v>6</v>
      </c>
    </row>
    <row r="20" customFormat="false" ht="18" hidden="false" customHeight="true" outlineLevel="0" collapsed="false">
      <c r="A20" s="5" t="n">
        <v>18</v>
      </c>
      <c r="B20" s="6" t="s">
        <v>63</v>
      </c>
      <c r="C20" s="5" t="s">
        <v>20</v>
      </c>
      <c r="D20" s="5" t="s">
        <v>64</v>
      </c>
      <c r="E20" s="5" t="s">
        <v>22</v>
      </c>
      <c r="F20" s="5" t="n">
        <v>25</v>
      </c>
      <c r="G20" s="5" t="n">
        <v>175</v>
      </c>
      <c r="H20" s="5" t="n">
        <v>72</v>
      </c>
      <c r="I20" s="5" t="n">
        <v>37</v>
      </c>
      <c r="J20" s="5" t="n">
        <v>30</v>
      </c>
      <c r="K20" s="5" t="n">
        <v>2535</v>
      </c>
      <c r="L20" s="5" t="n">
        <v>3</v>
      </c>
      <c r="M20" s="5" t="n">
        <v>0</v>
      </c>
      <c r="N20" s="5" t="n">
        <v>42</v>
      </c>
      <c r="O20" s="5" t="n">
        <v>21</v>
      </c>
      <c r="P20" s="5" t="n">
        <v>94.2</v>
      </c>
      <c r="Q20" s="5" t="n">
        <v>59</v>
      </c>
      <c r="R20" s="5" t="n">
        <v>3</v>
      </c>
    </row>
    <row r="21" customFormat="false" ht="18" hidden="false" customHeight="true" outlineLevel="0" collapsed="false">
      <c r="A21" s="3" t="n">
        <v>19</v>
      </c>
      <c r="B21" s="4" t="s">
        <v>65</v>
      </c>
      <c r="C21" s="3" t="s">
        <v>20</v>
      </c>
      <c r="D21" s="3" t="s">
        <v>66</v>
      </c>
      <c r="E21" s="3" t="s">
        <v>25</v>
      </c>
      <c r="F21" s="3" t="n">
        <v>33</v>
      </c>
      <c r="G21" s="3" t="n">
        <v>175</v>
      </c>
      <c r="H21" s="3" t="n">
        <v>75.2</v>
      </c>
      <c r="I21" s="3" t="n">
        <v>16</v>
      </c>
      <c r="J21" s="3" t="n">
        <v>14</v>
      </c>
      <c r="K21" s="3" t="n">
        <v>1258</v>
      </c>
      <c r="L21" s="3" t="n">
        <v>2</v>
      </c>
      <c r="M21" s="3" t="n">
        <v>6</v>
      </c>
      <c r="N21" s="3" t="n">
        <v>7</v>
      </c>
      <c r="O21" s="3" t="n">
        <v>4</v>
      </c>
      <c r="P21" s="3" t="n">
        <v>76.6</v>
      </c>
      <c r="Q21" s="3" t="n">
        <v>50</v>
      </c>
      <c r="R21" s="3" t="n">
        <v>7</v>
      </c>
    </row>
    <row r="22" customFormat="false" ht="18" hidden="false" customHeight="true" outlineLevel="0" collapsed="false">
      <c r="A22" s="5" t="n">
        <v>20</v>
      </c>
      <c r="B22" s="6" t="s">
        <v>67</v>
      </c>
      <c r="C22" s="5" t="s">
        <v>20</v>
      </c>
      <c r="D22" s="5" t="s">
        <v>68</v>
      </c>
      <c r="E22" s="5" t="s">
        <v>28</v>
      </c>
      <c r="F22" s="5" t="n">
        <v>35</v>
      </c>
      <c r="G22" s="5" t="n">
        <v>179</v>
      </c>
      <c r="H22" s="5" t="n">
        <v>75.6</v>
      </c>
      <c r="I22" s="5" t="n">
        <v>31</v>
      </c>
      <c r="J22" s="5" t="n">
        <v>30</v>
      </c>
      <c r="K22" s="5" t="n">
        <v>1942</v>
      </c>
      <c r="L22" s="5" t="n">
        <v>2</v>
      </c>
      <c r="M22" s="5" t="n">
        <v>1</v>
      </c>
      <c r="N22" s="5" t="n">
        <v>10</v>
      </c>
      <c r="O22" s="5" t="n">
        <v>4</v>
      </c>
      <c r="P22" s="5" t="n">
        <v>83.6</v>
      </c>
      <c r="Q22" s="5" t="n">
        <v>47</v>
      </c>
      <c r="R22" s="5" t="n">
        <v>5</v>
      </c>
    </row>
    <row r="23" customFormat="false" ht="18" hidden="false" customHeight="true" outlineLevel="0" collapsed="false">
      <c r="A23" s="3" t="n">
        <v>21</v>
      </c>
      <c r="B23" s="4" t="s">
        <v>69</v>
      </c>
      <c r="C23" s="3" t="s">
        <v>70</v>
      </c>
      <c r="D23" s="3" t="s">
        <v>71</v>
      </c>
      <c r="E23" s="3" t="s">
        <v>22</v>
      </c>
      <c r="F23" s="3" t="n">
        <v>33</v>
      </c>
      <c r="G23" s="3" t="n">
        <v>177</v>
      </c>
      <c r="H23" s="3" t="n">
        <v>66.3</v>
      </c>
      <c r="I23" s="3" t="n">
        <v>26</v>
      </c>
      <c r="J23" s="3" t="n">
        <v>26</v>
      </c>
      <c r="K23" s="3" t="n">
        <v>1690</v>
      </c>
      <c r="L23" s="3" t="n">
        <v>16</v>
      </c>
      <c r="M23" s="3" t="n">
        <v>1</v>
      </c>
      <c r="N23" s="3" t="n">
        <v>32</v>
      </c>
      <c r="O23" s="3" t="n">
        <v>9</v>
      </c>
      <c r="P23" s="3" t="n">
        <v>71.7</v>
      </c>
      <c r="Q23" s="3" t="n">
        <v>55</v>
      </c>
      <c r="R23" s="3" t="n">
        <v>3</v>
      </c>
    </row>
    <row r="24" customFormat="false" ht="18" hidden="false" customHeight="true" outlineLevel="0" collapsed="false">
      <c r="A24" s="5" t="n">
        <v>22</v>
      </c>
      <c r="B24" s="6" t="s">
        <v>72</v>
      </c>
      <c r="C24" s="5" t="s">
        <v>20</v>
      </c>
      <c r="D24" s="5" t="s">
        <v>21</v>
      </c>
      <c r="E24" s="5" t="s">
        <v>25</v>
      </c>
      <c r="F24" s="5" t="n">
        <v>36</v>
      </c>
      <c r="G24" s="5" t="n">
        <v>182</v>
      </c>
      <c r="H24" s="5" t="n">
        <v>68</v>
      </c>
      <c r="I24" s="5" t="n">
        <v>17</v>
      </c>
      <c r="J24" s="5" t="n">
        <v>9</v>
      </c>
      <c r="K24" s="5" t="n">
        <v>831</v>
      </c>
      <c r="L24" s="5" t="n">
        <v>6</v>
      </c>
      <c r="M24" s="5" t="n">
        <v>10</v>
      </c>
      <c r="N24" s="5" t="n">
        <v>44</v>
      </c>
      <c r="O24" s="5" t="n">
        <v>15</v>
      </c>
      <c r="P24" s="5" t="n">
        <v>76.5</v>
      </c>
      <c r="Q24" s="5" t="n">
        <v>42</v>
      </c>
      <c r="R24" s="5" t="n">
        <v>5</v>
      </c>
    </row>
    <row r="25" customFormat="false" ht="18" hidden="false" customHeight="true" outlineLevel="0" collapsed="false">
      <c r="A25" s="3" t="n">
        <v>23</v>
      </c>
      <c r="B25" s="4" t="s">
        <v>73</v>
      </c>
      <c r="C25" s="3" t="s">
        <v>20</v>
      </c>
      <c r="D25" s="3" t="s">
        <v>24</v>
      </c>
      <c r="E25" s="3" t="s">
        <v>28</v>
      </c>
      <c r="F25" s="3" t="n">
        <v>22</v>
      </c>
      <c r="G25" s="3" t="n">
        <v>177</v>
      </c>
      <c r="H25" s="3" t="n">
        <v>71.6</v>
      </c>
      <c r="I25" s="3" t="n">
        <v>31</v>
      </c>
      <c r="J25" s="3" t="n">
        <v>27</v>
      </c>
      <c r="K25" s="3" t="n">
        <v>2118</v>
      </c>
      <c r="L25" s="3" t="n">
        <v>0</v>
      </c>
      <c r="M25" s="3" t="n">
        <v>0</v>
      </c>
      <c r="N25" s="3" t="n">
        <v>34</v>
      </c>
      <c r="O25" s="3" t="n">
        <v>15</v>
      </c>
      <c r="P25" s="3" t="n">
        <v>84.1</v>
      </c>
      <c r="Q25" s="3" t="n">
        <v>6</v>
      </c>
      <c r="R25" s="3" t="n">
        <v>1</v>
      </c>
    </row>
    <row r="26" customFormat="false" ht="18" hidden="false" customHeight="true" outlineLevel="0" collapsed="false">
      <c r="A26" s="5" t="n">
        <v>24</v>
      </c>
      <c r="B26" s="6" t="s">
        <v>74</v>
      </c>
      <c r="C26" s="5" t="s">
        <v>20</v>
      </c>
      <c r="D26" s="5" t="s">
        <v>27</v>
      </c>
      <c r="E26" s="5" t="s">
        <v>22</v>
      </c>
      <c r="F26" s="5" t="n">
        <v>26</v>
      </c>
      <c r="G26" s="5" t="n">
        <v>187</v>
      </c>
      <c r="H26" s="5" t="n">
        <v>70.3</v>
      </c>
      <c r="I26" s="5" t="n">
        <v>14</v>
      </c>
      <c r="J26" s="5" t="n">
        <v>11</v>
      </c>
      <c r="K26" s="5" t="n">
        <v>1010</v>
      </c>
      <c r="L26" s="5" t="n">
        <v>7</v>
      </c>
      <c r="M26" s="5" t="n">
        <v>5</v>
      </c>
      <c r="N26" s="5" t="n">
        <v>30</v>
      </c>
      <c r="O26" s="5" t="n">
        <v>9</v>
      </c>
      <c r="P26" s="5" t="n">
        <v>90.8</v>
      </c>
      <c r="Q26" s="5" t="n">
        <v>45</v>
      </c>
      <c r="R26" s="5" t="n">
        <v>4</v>
      </c>
    </row>
    <row r="27" customFormat="false" ht="18" hidden="false" customHeight="true" outlineLevel="0" collapsed="false">
      <c r="A27" s="3" t="n">
        <v>25</v>
      </c>
      <c r="B27" s="4" t="s">
        <v>75</v>
      </c>
      <c r="C27" s="3" t="s">
        <v>20</v>
      </c>
      <c r="D27" s="3" t="s">
        <v>30</v>
      </c>
      <c r="E27" s="3" t="s">
        <v>25</v>
      </c>
      <c r="F27" s="3" t="n">
        <v>34</v>
      </c>
      <c r="G27" s="3" t="n">
        <v>189</v>
      </c>
      <c r="H27" s="3" t="n">
        <v>89.6</v>
      </c>
      <c r="I27" s="3" t="n">
        <v>10</v>
      </c>
      <c r="J27" s="3" t="n">
        <v>10</v>
      </c>
      <c r="K27" s="3" t="n">
        <v>690</v>
      </c>
      <c r="L27" s="3" t="n">
        <v>2</v>
      </c>
      <c r="M27" s="3" t="n">
        <v>4</v>
      </c>
      <c r="N27" s="3" t="n">
        <v>14</v>
      </c>
      <c r="O27" s="3" t="n">
        <v>7</v>
      </c>
      <c r="P27" s="3" t="n">
        <v>88.6</v>
      </c>
      <c r="Q27" s="3" t="n">
        <v>9</v>
      </c>
      <c r="R27" s="3" t="n">
        <v>4</v>
      </c>
    </row>
    <row r="28" customFormat="false" ht="18" hidden="false" customHeight="true" outlineLevel="0" collapsed="false">
      <c r="A28" s="5" t="n">
        <v>26</v>
      </c>
      <c r="B28" s="6" t="s">
        <v>76</v>
      </c>
      <c r="C28" s="5" t="s">
        <v>20</v>
      </c>
      <c r="D28" s="5" t="s">
        <v>33</v>
      </c>
      <c r="E28" s="5" t="s">
        <v>28</v>
      </c>
      <c r="F28" s="5" t="n">
        <v>28</v>
      </c>
      <c r="G28" s="5" t="n">
        <v>179</v>
      </c>
      <c r="H28" s="5" t="n">
        <v>80.1</v>
      </c>
      <c r="I28" s="5" t="n">
        <v>16</v>
      </c>
      <c r="J28" s="5" t="n">
        <v>12</v>
      </c>
      <c r="K28" s="5" t="n">
        <v>1076</v>
      </c>
      <c r="L28" s="5" t="n">
        <v>2</v>
      </c>
      <c r="M28" s="5" t="n">
        <v>0</v>
      </c>
      <c r="N28" s="5" t="n">
        <v>12</v>
      </c>
      <c r="O28" s="5" t="n">
        <v>5</v>
      </c>
      <c r="P28" s="5" t="n">
        <v>90.7</v>
      </c>
      <c r="Q28" s="5" t="n">
        <v>2</v>
      </c>
      <c r="R28" s="5" t="n">
        <v>0</v>
      </c>
    </row>
    <row r="29" customFormat="false" ht="18" hidden="false" customHeight="true" outlineLevel="0" collapsed="false">
      <c r="A29" s="3" t="n">
        <v>27</v>
      </c>
      <c r="B29" s="4" t="s">
        <v>77</v>
      </c>
      <c r="C29" s="3" t="s">
        <v>20</v>
      </c>
      <c r="D29" s="3" t="s">
        <v>38</v>
      </c>
      <c r="E29" s="3" t="s">
        <v>31</v>
      </c>
      <c r="F29" s="3" t="n">
        <v>26</v>
      </c>
      <c r="G29" s="3" t="n">
        <v>180</v>
      </c>
      <c r="H29" s="3" t="n">
        <v>84.3</v>
      </c>
      <c r="I29" s="3" t="n">
        <v>15</v>
      </c>
      <c r="J29" s="3" t="n">
        <v>14</v>
      </c>
      <c r="K29" s="3" t="n">
        <v>1115</v>
      </c>
      <c r="L29" s="3" t="n">
        <v>0</v>
      </c>
      <c r="M29" s="3" t="n">
        <v>0</v>
      </c>
      <c r="N29" s="3" t="n">
        <v>9</v>
      </c>
      <c r="O29" s="3" t="n">
        <v>5</v>
      </c>
      <c r="P29" s="3" t="n">
        <v>87.3</v>
      </c>
      <c r="Q29" s="3" t="n">
        <v>9</v>
      </c>
      <c r="R29" s="3" t="n">
        <v>8</v>
      </c>
    </row>
    <row r="30" customFormat="false" ht="18" hidden="false" customHeight="true" outlineLevel="0" collapsed="false">
      <c r="A30" s="5" t="n">
        <v>28</v>
      </c>
      <c r="B30" s="6" t="s">
        <v>78</v>
      </c>
      <c r="C30" s="5" t="s">
        <v>20</v>
      </c>
      <c r="D30" s="5" t="s">
        <v>43</v>
      </c>
      <c r="E30" s="5" t="s">
        <v>22</v>
      </c>
      <c r="F30" s="5" t="n">
        <v>36</v>
      </c>
      <c r="G30" s="5" t="n">
        <v>171</v>
      </c>
      <c r="H30" s="5" t="n">
        <v>85.9</v>
      </c>
      <c r="I30" s="5" t="n">
        <v>27</v>
      </c>
      <c r="J30" s="5" t="n">
        <v>21</v>
      </c>
      <c r="K30" s="5" t="n">
        <v>1641</v>
      </c>
      <c r="L30" s="5" t="n">
        <v>1</v>
      </c>
      <c r="M30" s="5" t="n">
        <v>4</v>
      </c>
      <c r="N30" s="5" t="n">
        <v>29</v>
      </c>
      <c r="O30" s="5" t="n">
        <v>15</v>
      </c>
      <c r="P30" s="5" t="n">
        <v>89.9</v>
      </c>
      <c r="Q30" s="5" t="n">
        <v>55</v>
      </c>
      <c r="R30" s="5" t="n">
        <v>0</v>
      </c>
    </row>
    <row r="31" customFormat="false" ht="18" hidden="false" customHeight="true" outlineLevel="0" collapsed="false">
      <c r="A31" s="3" t="n">
        <v>29</v>
      </c>
      <c r="B31" s="4" t="s">
        <v>79</v>
      </c>
      <c r="C31" s="3" t="s">
        <v>45</v>
      </c>
      <c r="D31" s="3" t="s">
        <v>80</v>
      </c>
      <c r="E31" s="3" t="s">
        <v>25</v>
      </c>
      <c r="F31" s="3" t="n">
        <v>25</v>
      </c>
      <c r="G31" s="3" t="n">
        <v>185</v>
      </c>
      <c r="H31" s="3" t="n">
        <v>70.3</v>
      </c>
      <c r="I31" s="3" t="n">
        <v>31</v>
      </c>
      <c r="J31" s="3" t="n">
        <v>24</v>
      </c>
      <c r="K31" s="3" t="n">
        <v>2019</v>
      </c>
      <c r="L31" s="3" t="n">
        <v>6</v>
      </c>
      <c r="M31" s="3" t="n">
        <v>9</v>
      </c>
      <c r="N31" s="3" t="n">
        <v>20</v>
      </c>
      <c r="O31" s="3" t="n">
        <v>11</v>
      </c>
      <c r="P31" s="3" t="n">
        <v>75.9</v>
      </c>
      <c r="Q31" s="3" t="n">
        <v>10</v>
      </c>
      <c r="R31" s="3" t="n">
        <v>2</v>
      </c>
    </row>
    <row r="32" customFormat="false" ht="18" hidden="false" customHeight="true" outlineLevel="0" collapsed="false">
      <c r="A32" s="5" t="n">
        <v>30</v>
      </c>
      <c r="B32" s="6" t="s">
        <v>81</v>
      </c>
      <c r="C32" s="5" t="s">
        <v>20</v>
      </c>
      <c r="D32" s="5" t="s">
        <v>53</v>
      </c>
      <c r="E32" s="5" t="s">
        <v>28</v>
      </c>
      <c r="F32" s="5" t="n">
        <v>28</v>
      </c>
      <c r="G32" s="5" t="n">
        <v>183</v>
      </c>
      <c r="H32" s="5" t="n">
        <v>65.6</v>
      </c>
      <c r="I32" s="5" t="n">
        <v>35</v>
      </c>
      <c r="J32" s="5" t="n">
        <v>33</v>
      </c>
      <c r="K32" s="5" t="n">
        <v>2855</v>
      </c>
      <c r="L32" s="5" t="n">
        <v>2</v>
      </c>
      <c r="M32" s="5" t="n">
        <v>1</v>
      </c>
      <c r="N32" s="5" t="n">
        <v>13</v>
      </c>
      <c r="O32" s="5" t="n">
        <v>5</v>
      </c>
      <c r="P32" s="5" t="n">
        <v>71</v>
      </c>
      <c r="Q32" s="5" t="n">
        <v>30</v>
      </c>
      <c r="R32" s="5" t="n">
        <v>3</v>
      </c>
    </row>
    <row r="33" customFormat="false" ht="19.5" hidden="false" customHeight="true" outlineLevel="0" collapsed="false">
      <c r="A33" s="7" t="s">
        <v>82</v>
      </c>
      <c r="B33" s="7"/>
      <c r="C33" s="7"/>
      <c r="D33" s="7"/>
      <c r="E33" s="7"/>
      <c r="F33" s="8" t="n">
        <f aca="false">AVERAGE(F3:F32)</f>
        <v>28.4</v>
      </c>
      <c r="G33" s="8" t="n">
        <f aca="false">AVERAGE(G3:G32)</f>
        <v>180.066666666667</v>
      </c>
      <c r="H33" s="8" t="n">
        <f aca="false">AVERAGE(H3:H32)</f>
        <v>77.1266666666667</v>
      </c>
      <c r="I33" s="8" t="n">
        <f aca="false">SUM(I3:I32)</f>
        <v>681</v>
      </c>
      <c r="J33" s="8" t="n">
        <f aca="false">SUM(J3:J32)</f>
        <v>572</v>
      </c>
      <c r="K33" s="8" t="n">
        <f aca="false">SUM(K3:K32)</f>
        <v>45056</v>
      </c>
      <c r="L33" s="8" t="n">
        <f aca="false">SUM(L3:L32)</f>
        <v>147</v>
      </c>
      <c r="M33" s="8" t="n">
        <f aca="false">SUM(M3:M32)</f>
        <v>94</v>
      </c>
      <c r="N33" s="8" t="n">
        <f aca="false">SUM(N3:N32)</f>
        <v>787</v>
      </c>
      <c r="O33" s="8" t="n">
        <f aca="false">SUM(O3:O32)</f>
        <v>306</v>
      </c>
      <c r="P33" s="8" t="n">
        <f aca="false">AVERAGE(P3:P32)</f>
        <v>81.61</v>
      </c>
      <c r="Q33" s="8" t="n">
        <f aca="false">SUM(Q3:Q32)</f>
        <v>954</v>
      </c>
      <c r="R33" s="8" t="n">
        <f aca="false">SUM(R3:R32)</f>
        <v>127</v>
      </c>
    </row>
  </sheetData>
  <mergeCells count="2">
    <mergeCell ref="A1:R1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9" t="s">
        <v>83</v>
      </c>
      <c r="B1" s="9"/>
      <c r="C1" s="9"/>
      <c r="D1" s="9"/>
      <c r="E1" s="9"/>
      <c r="F1" s="9"/>
      <c r="G1" s="9"/>
    </row>
    <row r="2" customFormat="false" ht="21.75" hidden="false" customHeight="true" outlineLevel="0" collapsed="false">
      <c r="A2" s="2" t="s">
        <v>5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</row>
    <row r="3" customFormat="false" ht="18" hidden="false" customHeight="true" outlineLevel="0" collapsed="false">
      <c r="A3" s="10" t="s">
        <v>22</v>
      </c>
      <c r="B3" s="11" t="n">
        <f aca="false">COUNTIF(Jogadores!E3:E32,"Atacante")</f>
        <v>9</v>
      </c>
      <c r="C3" s="11" t="n">
        <f aca="false">AVERAGEIF(Jogadores!E3:E32,"Atacante",Jogadores!L3:L32)</f>
        <v>9.66666666666667</v>
      </c>
      <c r="D3" s="11" t="n">
        <f aca="false">AVERAGEIF(Jogadores!E3:E32,"Atacante",Jogadores!M3:M32)</f>
        <v>3.33333333333333</v>
      </c>
      <c r="E3" s="11" t="n">
        <f aca="false">AVERAGEIF(Jogadores!E3:E32,"Atacante",Jogadores!K3:K32)</f>
        <v>1388.44444444444</v>
      </c>
      <c r="F3" s="11" t="n">
        <f aca="false">AVERAGEIF(Jogadores!E3:E32,"Atacante",Jogadores!P3:P32)</f>
        <v>82.3888888888889</v>
      </c>
      <c r="G3" s="11" t="n">
        <f aca="false">AVERAGEIF(Jogadores!E3:E32,"Atacante",Jogadores!R3:R32)</f>
        <v>5.11111111111111</v>
      </c>
    </row>
    <row r="4" customFormat="false" ht="18" hidden="false" customHeight="true" outlineLevel="0" collapsed="false">
      <c r="A4" s="12" t="s">
        <v>25</v>
      </c>
      <c r="B4" s="13" t="n">
        <f aca="false">COUNTIF(Jogadores!E3:E32,"Meia")</f>
        <v>9</v>
      </c>
      <c r="C4" s="13" t="n">
        <f aca="false">AVERAGEIF(Jogadores!E3:E32,"Meia",Jogadores!L3:L32)</f>
        <v>4.44444444444445</v>
      </c>
      <c r="D4" s="13" t="n">
        <f aca="false">AVERAGEIF(Jogadores!E3:E32,"Meia",Jogadores!M3:M32)</f>
        <v>6</v>
      </c>
      <c r="E4" s="13" t="n">
        <f aca="false">AVERAGEIF(Jogadores!E3:E32,"Meia",Jogadores!K3:K32)</f>
        <v>1334.22222222222</v>
      </c>
      <c r="F4" s="13" t="n">
        <f aca="false">AVERAGEIF(Jogadores!E3:E32,"Meia",Jogadores!P3:P32)</f>
        <v>79.1777777777778</v>
      </c>
      <c r="G4" s="13" t="n">
        <f aca="false">AVERAGEIF(Jogadores!E3:E32,"Meia",Jogadores!R3:R32)</f>
        <v>3.88888888888889</v>
      </c>
    </row>
    <row r="5" customFormat="false" ht="18" hidden="false" customHeight="true" outlineLevel="0" collapsed="false">
      <c r="A5" s="14" t="s">
        <v>28</v>
      </c>
      <c r="B5" s="15" t="n">
        <f aca="false">COUNTIF(Jogadores!E3:E32,"Defensor")</f>
        <v>9</v>
      </c>
      <c r="C5" s="15" t="n">
        <f aca="false">AVERAGEIF(Jogadores!E3:E32,"Defensor",Jogadores!L3:L32)</f>
        <v>1.77777777777778</v>
      </c>
      <c r="D5" s="15" t="n">
        <f aca="false">AVERAGEIF(Jogadores!E3:E32,"Defensor",Jogadores!M3:M32)</f>
        <v>0.555555555555556</v>
      </c>
      <c r="E5" s="15" t="n">
        <f aca="false">AVERAGEIF(Jogadores!E3:E32,"Defensor",Jogadores!K3:K32)</f>
        <v>1823.11111111111</v>
      </c>
      <c r="F5" s="15" t="n">
        <f aca="false">AVERAGEIF(Jogadores!E3:E32,"Defensor",Jogadores!P3:P32)</f>
        <v>83.6333333333333</v>
      </c>
      <c r="G5" s="15" t="n">
        <f aca="false">AVERAGEIF(Jogadores!E3:E32,"Defensor",Jogadores!R3:R32)</f>
        <v>3.22222222222222</v>
      </c>
    </row>
    <row r="6" customFormat="false" ht="18" hidden="false" customHeight="true" outlineLevel="0" collapsed="false">
      <c r="A6" s="16" t="s">
        <v>31</v>
      </c>
      <c r="B6" s="17" t="n">
        <f aca="false">COUNTIF(Jogadores!E3:E32,"Goleiro")</f>
        <v>3</v>
      </c>
      <c r="C6" s="17" t="n">
        <f aca="false">AVERAGEIF(Jogadores!E3:E32,"Goleiro",Jogadores!L3:L32)</f>
        <v>1.33333333333333</v>
      </c>
      <c r="D6" s="17" t="n">
        <f aca="false">AVERAGEIF(Jogadores!E3:E32,"Goleiro",Jogadores!M3:M32)</f>
        <v>1.66666666666667</v>
      </c>
      <c r="E6" s="17" t="n">
        <f aca="false">AVERAGEIF(Jogadores!E3:E32,"Goleiro",Jogadores!K3:K32)</f>
        <v>1381.33333333333</v>
      </c>
      <c r="F6" s="17" t="n">
        <f aca="false">AVERAGEIF(Jogadores!E3:E32,"Goleiro",Jogadores!P3:P32)</f>
        <v>80.5</v>
      </c>
      <c r="G6" s="17" t="n">
        <f aca="false">AVERAGEIF(Jogadores!E3:E32,"Goleiro",Jogadores!R3:R32)</f>
        <v>5.66666666666667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7.75" hidden="false" customHeight="true" outlineLevel="0" collapsed="false">
      <c r="A1" s="9" t="s">
        <v>90</v>
      </c>
      <c r="B1" s="9"/>
      <c r="C1" s="9"/>
      <c r="D1" s="9"/>
      <c r="E1" s="9"/>
    </row>
    <row r="2" customFormat="false" ht="21.75" hidden="false" customHeight="true" outlineLevel="0" collapsed="false">
      <c r="A2" s="2" t="s">
        <v>91</v>
      </c>
      <c r="B2" s="2" t="s">
        <v>2</v>
      </c>
      <c r="C2" s="2" t="s">
        <v>4</v>
      </c>
      <c r="D2" s="2" t="s">
        <v>5</v>
      </c>
      <c r="E2" s="2" t="s">
        <v>12</v>
      </c>
    </row>
    <row r="3" customFormat="false" ht="18" hidden="false" customHeight="true" outlineLevel="0" collapsed="false">
      <c r="A3" s="18" t="n">
        <v>1</v>
      </c>
      <c r="B3" s="18" t="str">
        <f aca="false">INDEX(Jogadores!B3:B32,MATCH(LARGE(Jogadores!L3:L32,1),Jogadores!L3:L32,0))</f>
        <v>Santiago Herrera</v>
      </c>
      <c r="C3" s="18" t="str">
        <f aca="false">INDEX(Jogadores!D3:D32,MATCH(LARGE(Jogadores!L3:L32,1),Jogadores!L3:L32,0))</f>
        <v>Nacional</v>
      </c>
      <c r="D3" s="18" t="str">
        <f aca="false">INDEX(Jogadores!E3:E32,MATCH(LARGE(Jogadores!L3:L32,1),Jogadores!L3:L32,0))</f>
        <v>Atacante</v>
      </c>
      <c r="E3" s="18" t="n">
        <f aca="false">LARGE(Jogadores!L3:L32,1)</f>
        <v>19</v>
      </c>
    </row>
    <row r="4" customFormat="false" ht="18" hidden="false" customHeight="true" outlineLevel="0" collapsed="false">
      <c r="A4" s="19" t="n">
        <v>2</v>
      </c>
      <c r="B4" s="19" t="str">
        <f aca="false">INDEX(Jogadores!B3:B32,MATCH(LARGE(Jogadores!L3:L32,2),Jogadores!L3:L32,0))</f>
        <v>Felipe Torres</v>
      </c>
      <c r="C4" s="19" t="str">
        <f aca="false">INDEX(Jogadores!D3:D32,MATCH(LARGE(Jogadores!L3:L32,2),Jogadores!L3:L32,0))</f>
        <v>Millonarios</v>
      </c>
      <c r="D4" s="19" t="str">
        <f aca="false">INDEX(Jogadores!E3:E32,MATCH(LARGE(Jogadores!L3:L32,2),Jogadores!L3:L32,0))</f>
        <v>Atacante</v>
      </c>
      <c r="E4" s="19" t="n">
        <f aca="false">LARGE(Jogadores!L3:L32,2)</f>
        <v>18</v>
      </c>
    </row>
    <row r="5" customFormat="false" ht="18" hidden="false" customHeight="true" outlineLevel="0" collapsed="false">
      <c r="A5" s="20" t="n">
        <v>3</v>
      </c>
      <c r="B5" s="20" t="str">
        <f aca="false">INDEX(Jogadores!B3:B32,MATCH(LARGE(Jogadores!L3:L32,3),Jogadores!L3:L32,0))</f>
        <v>Carlos Almeida</v>
      </c>
      <c r="C5" s="20" t="str">
        <f aca="false">INDEX(Jogadores!D3:D32,MATCH(LARGE(Jogadores!L3:L32,3),Jogadores!L3:L32,0))</f>
        <v>Fluminense FC</v>
      </c>
      <c r="D5" s="20" t="str">
        <f aca="false">INDEX(Jogadores!E3:E32,MATCH(LARGE(Jogadores!L3:L32,3),Jogadores!L3:L32,0))</f>
        <v>Atacante</v>
      </c>
      <c r="E5" s="20" t="n">
        <f aca="false">LARGE(Jogadores!L3:L32,3)</f>
        <v>17</v>
      </c>
    </row>
    <row r="6" customFormat="false" ht="18" hidden="false" customHeight="true" outlineLevel="0" collapsed="false">
      <c r="A6" s="3" t="n">
        <v>4</v>
      </c>
      <c r="B6" s="3" t="str">
        <f aca="false">INDEX(Jogadores!B3:B32,MATCH(LARGE(Jogadores!L3:L32,4),Jogadores!L3:L32,0))</f>
        <v>Alessandro Greco</v>
      </c>
      <c r="C6" s="3" t="str">
        <f aca="false">INDEX(Jogadores!D3:D32,MATCH(LARGE(Jogadores!L3:L32,4),Jogadores!L3:L32,0))</f>
        <v>AC Fiorentina</v>
      </c>
      <c r="D6" s="3" t="str">
        <f aca="false">INDEX(Jogadores!E3:E32,MATCH(LARGE(Jogadores!L3:L32,4),Jogadores!L3:L32,0))</f>
        <v>Atacante</v>
      </c>
      <c r="E6" s="3" t="n">
        <f aca="false">LARGE(Jogadores!L3:L32,4)</f>
        <v>16</v>
      </c>
    </row>
    <row r="7" customFormat="false" ht="18" hidden="false" customHeight="true" outlineLevel="0" collapsed="false">
      <c r="A7" s="5" t="n">
        <v>5</v>
      </c>
      <c r="B7" s="5" t="str">
        <f aca="false">INDEX(Jogadores!B3:B32,MATCH(LARGE(Jogadores!L3:L32,5),Jogadores!L3:L32,0))</f>
        <v>Rodrigo Ferreira</v>
      </c>
      <c r="C7" s="5" t="str">
        <f aca="false">INDEX(Jogadores!D3:D32,MATCH(LARGE(Jogadores!L3:L32,5),Jogadores!L3:L32,0))</f>
        <v>Santos FC</v>
      </c>
      <c r="D7" s="5" t="str">
        <f aca="false">INDEX(Jogadores!E3:E32,MATCH(LARGE(Jogadores!L3:L32,5),Jogadores!L3:L32,0))</f>
        <v>Meia</v>
      </c>
      <c r="E7" s="5" t="n">
        <f aca="false">LARGE(Jogadores!L3:L32,5)</f>
        <v>7</v>
      </c>
    </row>
    <row r="8" customFormat="false" ht="18" hidden="false" customHeight="true" outlineLevel="0" collapsed="false">
      <c r="A8" s="3" t="n">
        <v>6</v>
      </c>
      <c r="B8" s="3" t="str">
        <f aca="false">INDEX(Jogadores!B3:B32,MATCH(LARGE(Jogadores!L3:L32,6),Jogadores!L3:L32,0))</f>
        <v>Rodrigo Ferreira</v>
      </c>
      <c r="C8" s="3" t="str">
        <f aca="false">INDEX(Jogadores!D3:D32,MATCH(LARGE(Jogadores!L3:L32,6),Jogadores!L3:L32,0))</f>
        <v>Santos FC</v>
      </c>
      <c r="D8" s="3" t="str">
        <f aca="false">INDEX(Jogadores!E3:E32,MATCH(LARGE(Jogadores!L3:L32,6),Jogadores!L3:L32,0))</f>
        <v>Meia</v>
      </c>
      <c r="E8" s="3" t="n">
        <f aca="false">LARGE(Jogadores!L3:L32,6)</f>
        <v>7</v>
      </c>
    </row>
    <row r="9" customFormat="false" ht="18" hidden="false" customHeight="true" outlineLevel="0" collapsed="false">
      <c r="A9" s="5" t="n">
        <v>7</v>
      </c>
      <c r="B9" s="5" t="str">
        <f aca="false">INDEX(Jogadores!B3:B32,MATCH(LARGE(Jogadores!L3:L32,7),Jogadores!L3:L32,0))</f>
        <v>Diego Rojas</v>
      </c>
      <c r="C9" s="5" t="str">
        <f aca="false">INDEX(Jogadores!D3:D32,MATCH(LARGE(Jogadores!L3:L32,7),Jogadores!L3:L32,0))</f>
        <v>Boca Juniors</v>
      </c>
      <c r="D9" s="5" t="str">
        <f aca="false">INDEX(Jogadores!E3:E32,MATCH(LARGE(Jogadores!L3:L32,7),Jogadores!L3:L32,0))</f>
        <v>Meia</v>
      </c>
      <c r="E9" s="5" t="n">
        <f aca="false">LARGE(Jogadores!L3:L32,7)</f>
        <v>6</v>
      </c>
    </row>
    <row r="10" customFormat="false" ht="18" hidden="false" customHeight="true" outlineLevel="0" collapsed="false">
      <c r="A10" s="3" t="n">
        <v>8</v>
      </c>
      <c r="B10" s="3" t="str">
        <f aca="false">INDEX(Jogadores!B3:B32,MATCH(LARGE(Jogadores!L3:L32,8),Jogadores!L3:L32,0))</f>
        <v>Diego Rojas</v>
      </c>
      <c r="C10" s="3" t="str">
        <f aca="false">INDEX(Jogadores!D3:D32,MATCH(LARGE(Jogadores!L3:L32,8),Jogadores!L3:L32,0))</f>
        <v>Boca Juniors</v>
      </c>
      <c r="D10" s="3" t="str">
        <f aca="false">INDEX(Jogadores!E3:E32,MATCH(LARGE(Jogadores!L3:L32,8),Jogadores!L3:L32,0))</f>
        <v>Meia</v>
      </c>
      <c r="E10" s="3" t="n">
        <f aca="false">LARGE(Jogadores!L3:L32,8)</f>
        <v>6</v>
      </c>
    </row>
    <row r="11" customFormat="false" ht="18" hidden="false" customHeight="true" outlineLevel="0" collapsed="false">
      <c r="A11" s="5" t="n">
        <v>9</v>
      </c>
      <c r="B11" s="5" t="str">
        <f aca="false">INDEX(Jogadores!B3:B32,MATCH(LARGE(Jogadores!L3:L32,9),Jogadores!L3:L32,0))</f>
        <v>Diego Rojas</v>
      </c>
      <c r="C11" s="5" t="str">
        <f aca="false">INDEX(Jogadores!D3:D32,MATCH(LARGE(Jogadores!L3:L32,9),Jogadores!L3:L32,0))</f>
        <v>Boca Juniors</v>
      </c>
      <c r="D11" s="5" t="str">
        <f aca="false">INDEX(Jogadores!E3:E32,MATCH(LARGE(Jogadores!L3:L32,9),Jogadores!L3:L32,0))</f>
        <v>Meia</v>
      </c>
      <c r="E11" s="5" t="n">
        <f aca="false">LARGE(Jogadores!L3:L32,9)</f>
        <v>6</v>
      </c>
    </row>
    <row r="12" customFormat="false" ht="18" hidden="false" customHeight="true" outlineLevel="0" collapsed="false">
      <c r="A12" s="3" t="n">
        <v>10</v>
      </c>
      <c r="B12" s="3" t="str">
        <f aca="false">INDEX(Jogadores!B3:B32,MATCH(LARGE(Jogadores!L3:L32,10),Jogadores!L3:L32,0))</f>
        <v>Diego Rojas</v>
      </c>
      <c r="C12" s="3" t="str">
        <f aca="false">INDEX(Jogadores!D3:D32,MATCH(LARGE(Jogadores!L3:L32,10),Jogadores!L3:L32,0))</f>
        <v>Boca Juniors</v>
      </c>
      <c r="D12" s="3" t="str">
        <f aca="false">INDEX(Jogadores!E3:E32,MATCH(LARGE(Jogadores!L3:L32,10),Jogadores!L3:L32,0))</f>
        <v>Meia</v>
      </c>
      <c r="E12" s="3" t="n">
        <f aca="false">LARGE(Jogadores!L3:L32,10)</f>
        <v>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2026-05-21T17:58:50Z</dcterms:created>
  <dc:creator>openpyxl</dc:creator>
  <dc:description/>
  <dc:language>en-US</dc:language>
  <cp:lastModifiedBy/>
  <dcterms:modified xsi:type="dcterms:W3CDTF">2026-05-21T17:58:50Z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